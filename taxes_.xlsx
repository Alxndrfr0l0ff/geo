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z\geo\"/>
    </mc:Choice>
  </mc:AlternateContent>
  <xr:revisionPtr revIDLastSave="0" documentId="13_ncr:1_{4EA93A2F-E3F0-4351-8668-745E68A24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externalReferences>
    <externalReference r:id="rId2"/>
  </externalReferences>
  <definedNames>
    <definedName name="_xlnm._FilterDatabase" localSheetId="0" hidden="1">'Sheet 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/>
  <c r="B6" i="1"/>
  <c r="B20" i="1"/>
  <c r="B21" i="1"/>
  <c r="B22" i="1"/>
  <c r="B23" i="1"/>
  <c r="B24" i="1"/>
  <c r="B25" i="1"/>
  <c r="B26" i="1"/>
  <c r="B8" i="1"/>
  <c r="B27" i="1"/>
  <c r="B9" i="1"/>
  <c r="B28" i="1"/>
  <c r="B29" i="1"/>
  <c r="B30" i="1"/>
  <c r="B31" i="1"/>
  <c r="B32" i="1"/>
  <c r="B33" i="1"/>
  <c r="B34" i="1"/>
  <c r="B35" i="1"/>
  <c r="B13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3" i="1"/>
  <c r="B2" i="1"/>
  <c r="B4" i="1"/>
  <c r="B10" i="1"/>
  <c r="B5" i="1"/>
  <c r="B14" i="1"/>
  <c r="B15" i="1"/>
  <c r="B16" i="1"/>
  <c r="B17" i="1"/>
  <c r="B7" i="1"/>
  <c r="B12" i="1"/>
  <c r="B11" i="1"/>
</calcChain>
</file>

<file path=xl/sharedStrings.xml><?xml version="1.0" encoding="utf-8"?>
<sst xmlns="http://schemas.openxmlformats.org/spreadsheetml/2006/main" count="60" uniqueCount="60">
  <si>
    <t>ST_NEW</t>
  </si>
  <si>
    <t>UA26040190000081578</t>
  </si>
  <si>
    <t>UA26120130000088448</t>
  </si>
  <si>
    <t>UA26120150000021671</t>
  </si>
  <si>
    <t>UA26060170000091466</t>
  </si>
  <si>
    <t>UA26080070000092582</t>
  </si>
  <si>
    <t>UA26120070000067596</t>
  </si>
  <si>
    <t>UA26040390000023006</t>
  </si>
  <si>
    <t>UA26060130000047466</t>
  </si>
  <si>
    <t>UA26040330000019235</t>
  </si>
  <si>
    <t>UA26040270000047749</t>
  </si>
  <si>
    <t>UA26040370000057019</t>
  </si>
  <si>
    <t>UA26060070000011203</t>
  </si>
  <si>
    <t>UA26040090000025932</t>
  </si>
  <si>
    <t>UA26020050000098694</t>
  </si>
  <si>
    <t>UA26120010000096774</t>
  </si>
  <si>
    <t>UA26040310000066064</t>
  </si>
  <si>
    <t>UA26040210000094444</t>
  </si>
  <si>
    <t>UA26080030000014307</t>
  </si>
  <si>
    <t>UA26040070000065724</t>
  </si>
  <si>
    <t>UA26100010000076570</t>
  </si>
  <si>
    <t>UA26040250000061081</t>
  </si>
  <si>
    <t>UA26080230000035462</t>
  </si>
  <si>
    <t>UA26020030000088465</t>
  </si>
  <si>
    <t>UA26060230000053464</t>
  </si>
  <si>
    <t>UA26040030000091528</t>
  </si>
  <si>
    <t>UA26060150000074921</t>
  </si>
  <si>
    <t>UA26080170000041182</t>
  </si>
  <si>
    <t>UA26060010000037638</t>
  </si>
  <si>
    <t>UA26080150000032640</t>
  </si>
  <si>
    <t>UA26100090000038366</t>
  </si>
  <si>
    <t>UA26040150000053322</t>
  </si>
  <si>
    <t>UA26060030000011364</t>
  </si>
  <si>
    <t>UA26040290000025886</t>
  </si>
  <si>
    <t>UA26100050000019570</t>
  </si>
  <si>
    <t>UA26120030000018265</t>
  </si>
  <si>
    <t>UA26080130000058024</t>
  </si>
  <si>
    <t>UA26120090000072057</t>
  </si>
  <si>
    <t>UA26120050000087602</t>
  </si>
  <si>
    <t>UA26040010000011271</t>
  </si>
  <si>
    <t>UA26080210000049380</t>
  </si>
  <si>
    <t>UA26040130000010870</t>
  </si>
  <si>
    <t>UA26020010000096556</t>
  </si>
  <si>
    <t>UA26040350000024417</t>
  </si>
  <si>
    <t>UA26120110000086381</t>
  </si>
  <si>
    <t>UA26080050000081474</t>
  </si>
  <si>
    <t>UA26060210000091421</t>
  </si>
  <si>
    <t>UA26080110000076323</t>
  </si>
  <si>
    <t>UA26060050000042523</t>
  </si>
  <si>
    <t>UA26080090000095729</t>
  </si>
  <si>
    <t>UA26100070000078132</t>
  </si>
  <si>
    <t>UA26080250000056546</t>
  </si>
  <si>
    <t>UA26060190000099075</t>
  </si>
  <si>
    <t>UA26080010000036750</t>
  </si>
  <si>
    <t>UA26040170000097347</t>
  </si>
  <si>
    <t>UA26040110000023512</t>
  </si>
  <si>
    <t>Надходження до Зведеного бюджету</t>
  </si>
  <si>
    <t>в т.ч. по екологічному податку</t>
  </si>
  <si>
    <t>в т.ч. по туристичному збору</t>
  </si>
  <si>
    <t>Назва 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</si>
</sst>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3" fontId="1" fillId="0" borderId="1" xfId="1" applyNumberFormat="1" applyFont="1" applyBorder="1"/>
    <xf numFmtId="0" fontId="1" fillId="0" borderId="1" xfId="1" applyFont="1" applyBorder="1"/>
    <xf numFmtId="0" fontId="2" fillId="0" borderId="1" xfId="1" applyFont="1" applyBorder="1"/>
    <xf numFmtId="0" fontId="2" fillId="0" borderId="1" xfId="1" applyFont="1" applyBorder="1" applyAlignment="1">
      <alignment wrapText="1"/>
    </xf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z\geo\katottg_dov.xlsx" TargetMode="External"/><Relationship Id="rId1" Type="http://schemas.openxmlformats.org/officeDocument/2006/relationships/externalLinkPath" Target="katottg_d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2">
          <cell r="C2" t="str">
            <v>UA26020010000096556</v>
          </cell>
          <cell r="F2" t="str">
            <v>UA26020010000096556</v>
          </cell>
          <cell r="G2">
            <v>3</v>
          </cell>
          <cell r="H2" t="str">
            <v>H</v>
          </cell>
          <cell r="I2" t="str">
            <v>Бiлоберiзька</v>
          </cell>
        </row>
        <row r="3">
          <cell r="C3" t="str">
            <v>UA26020030000088465</v>
          </cell>
          <cell r="F3" t="str">
            <v>UA26020030000088465</v>
          </cell>
          <cell r="G3">
            <v>3</v>
          </cell>
          <cell r="H3" t="str">
            <v>H</v>
          </cell>
          <cell r="I3" t="str">
            <v>Верховинська</v>
          </cell>
        </row>
        <row r="4">
          <cell r="C4" t="str">
            <v>UA26020050000098694</v>
          </cell>
          <cell r="F4" t="str">
            <v>UA26020050000098694</v>
          </cell>
          <cell r="G4">
            <v>3</v>
          </cell>
          <cell r="H4" t="str">
            <v>H</v>
          </cell>
          <cell r="I4" t="str">
            <v>Зеленська</v>
          </cell>
        </row>
        <row r="5">
          <cell r="C5" t="str">
            <v>UA26040190000081578</v>
          </cell>
          <cell r="F5" t="str">
            <v>UA26040190000081578</v>
          </cell>
          <cell r="G5">
            <v>3</v>
          </cell>
          <cell r="H5" t="str">
            <v>H</v>
          </cell>
          <cell r="I5" t="str">
            <v>Iвано-Франкiвська</v>
          </cell>
        </row>
        <row r="6">
          <cell r="C6" t="str">
            <v>UA26060170000091466</v>
          </cell>
          <cell r="F6" t="str">
            <v>UA26060170000091466</v>
          </cell>
          <cell r="G6">
            <v>3</v>
          </cell>
          <cell r="H6" t="str">
            <v>H</v>
          </cell>
          <cell r="I6" t="str">
            <v>Калуська</v>
          </cell>
        </row>
        <row r="7">
          <cell r="C7" t="str">
            <v>UA26080070000092582</v>
          </cell>
          <cell r="F7" t="str">
            <v>UA26080070000092582</v>
          </cell>
          <cell r="G7">
            <v>3</v>
          </cell>
          <cell r="H7" t="str">
            <v>H</v>
          </cell>
          <cell r="I7" t="str">
            <v>Коломийська</v>
          </cell>
        </row>
        <row r="8">
          <cell r="C8" t="str">
            <v>UA26100010000076570</v>
          </cell>
          <cell r="F8" t="str">
            <v>UA26100010000076570</v>
          </cell>
          <cell r="G8">
            <v>3</v>
          </cell>
          <cell r="H8" t="str">
            <v>H</v>
          </cell>
          <cell r="I8" t="str">
            <v>Косiвська</v>
          </cell>
        </row>
        <row r="9">
          <cell r="C9" t="str">
            <v>UA26100030000012148</v>
          </cell>
          <cell r="F9" t="str">
            <v>UA26100030000012148</v>
          </cell>
          <cell r="G9">
            <v>3</v>
          </cell>
          <cell r="H9" t="str">
            <v>H</v>
          </cell>
          <cell r="I9" t="str">
            <v>Космацька</v>
          </cell>
        </row>
        <row r="10">
          <cell r="C10" t="str">
            <v>UA26100050000019570</v>
          </cell>
          <cell r="F10" t="str">
            <v>UA26100050000019570</v>
          </cell>
          <cell r="G10">
            <v>3</v>
          </cell>
          <cell r="H10" t="str">
            <v>H</v>
          </cell>
          <cell r="I10" t="str">
            <v>Кутська</v>
          </cell>
        </row>
        <row r="11">
          <cell r="C11" t="str">
            <v>UA26100070000078132</v>
          </cell>
          <cell r="F11" t="str">
            <v>UA26100070000078132</v>
          </cell>
          <cell r="G11">
            <v>3</v>
          </cell>
          <cell r="H11" t="str">
            <v>H</v>
          </cell>
          <cell r="I11" t="str">
            <v>Рожнiвська</v>
          </cell>
        </row>
        <row r="12">
          <cell r="C12" t="str">
            <v>UA26100090000038366</v>
          </cell>
          <cell r="F12" t="str">
            <v>UA26100090000038366</v>
          </cell>
          <cell r="G12">
            <v>3</v>
          </cell>
          <cell r="H12" t="str">
            <v>H</v>
          </cell>
          <cell r="I12" t="str">
            <v>Яблунiвська</v>
          </cell>
        </row>
        <row r="13">
          <cell r="C13" t="str">
            <v>UA26120030000018265</v>
          </cell>
          <cell r="F13" t="str">
            <v>UA26120030000018265</v>
          </cell>
          <cell r="G13">
            <v>3</v>
          </cell>
          <cell r="H13" t="str">
            <v>H</v>
          </cell>
          <cell r="I13" t="str">
            <v>Делятинська</v>
          </cell>
        </row>
        <row r="14">
          <cell r="C14" t="str">
            <v>UA26120050000087602</v>
          </cell>
          <cell r="F14" t="str">
            <v>UA26120050000087602</v>
          </cell>
          <cell r="G14">
            <v>3</v>
          </cell>
          <cell r="H14" t="str">
            <v>H</v>
          </cell>
          <cell r="I14" t="str">
            <v>Ланчинська</v>
          </cell>
        </row>
        <row r="15">
          <cell r="C15" t="str">
            <v>UA26120070000067596</v>
          </cell>
          <cell r="F15" t="str">
            <v>UA26120070000067596</v>
          </cell>
          <cell r="G15">
            <v>3</v>
          </cell>
          <cell r="H15" t="str">
            <v>H</v>
          </cell>
          <cell r="I15" t="str">
            <v>Надвiрнянська</v>
          </cell>
        </row>
        <row r="16">
          <cell r="C16" t="str">
            <v>UA26120090000072057</v>
          </cell>
          <cell r="F16" t="str">
            <v>UA26120090000072057</v>
          </cell>
          <cell r="G16">
            <v>3</v>
          </cell>
          <cell r="H16" t="str">
            <v>H</v>
          </cell>
          <cell r="I16" t="str">
            <v>Пасiчнянська</v>
          </cell>
        </row>
        <row r="17">
          <cell r="C17" t="str">
            <v>UA26120110000086381</v>
          </cell>
          <cell r="F17" t="str">
            <v>UA26120110000086381</v>
          </cell>
          <cell r="G17">
            <v>3</v>
          </cell>
          <cell r="H17" t="str">
            <v>H</v>
          </cell>
          <cell r="I17" t="str">
            <v>Перерiслянська</v>
          </cell>
        </row>
        <row r="18">
          <cell r="C18" t="str">
            <v>UA26040150000053322</v>
          </cell>
          <cell r="F18" t="str">
            <v>UA26040150000053322</v>
          </cell>
          <cell r="G18">
            <v>3</v>
          </cell>
          <cell r="H18" t="str">
            <v>H</v>
          </cell>
          <cell r="I18" t="str">
            <v>Єзупiльська</v>
          </cell>
        </row>
        <row r="19">
          <cell r="C19" t="str">
            <v>UA26040170000097347</v>
          </cell>
          <cell r="F19" t="str">
            <v>UA26040170000097347</v>
          </cell>
          <cell r="G19">
            <v>3</v>
          </cell>
          <cell r="H19" t="str">
            <v>H</v>
          </cell>
          <cell r="I19" t="str">
            <v>Загвiздянська</v>
          </cell>
        </row>
        <row r="20">
          <cell r="C20" t="str">
            <v>UA26040210000094444</v>
          </cell>
          <cell r="F20" t="str">
            <v>UA26040210000094444</v>
          </cell>
          <cell r="G20">
            <v>3</v>
          </cell>
          <cell r="H20" t="str">
            <v>H</v>
          </cell>
          <cell r="I20" t="str">
            <v>Лисецька</v>
          </cell>
        </row>
        <row r="21">
          <cell r="C21" t="str">
            <v>UA26040230000035526</v>
          </cell>
          <cell r="F21" t="str">
            <v>UA26040230000035526</v>
          </cell>
          <cell r="G21">
            <v>3</v>
          </cell>
          <cell r="H21" t="str">
            <v>H</v>
          </cell>
          <cell r="I21" t="str">
            <v>Обертинська</v>
          </cell>
        </row>
        <row r="22">
          <cell r="C22" t="str">
            <v>UA26040250000061081</v>
          </cell>
          <cell r="F22" t="str">
            <v>UA26040250000061081</v>
          </cell>
          <cell r="G22">
            <v>3</v>
          </cell>
          <cell r="H22" t="str">
            <v>H</v>
          </cell>
          <cell r="I22" t="str">
            <v>Олешанська</v>
          </cell>
        </row>
        <row r="23">
          <cell r="C23" t="str">
            <v>UA26040270000047749</v>
          </cell>
          <cell r="F23" t="str">
            <v>UA26040270000047749</v>
          </cell>
          <cell r="G23">
            <v>3</v>
          </cell>
          <cell r="H23" t="str">
            <v>H</v>
          </cell>
          <cell r="I23" t="str">
            <v>Рогатинська</v>
          </cell>
        </row>
        <row r="24">
          <cell r="C24" t="str">
            <v>UA26040290000025886</v>
          </cell>
          <cell r="F24" t="str">
            <v>UA26040290000025886</v>
          </cell>
          <cell r="G24">
            <v>3</v>
          </cell>
          <cell r="H24" t="str">
            <v>H</v>
          </cell>
          <cell r="I24" t="str">
            <v>Солотвинська</v>
          </cell>
        </row>
        <row r="25">
          <cell r="C25" t="str">
            <v>UA26040310000066064</v>
          </cell>
          <cell r="F25" t="str">
            <v>UA26040310000066064</v>
          </cell>
          <cell r="G25">
            <v>3</v>
          </cell>
          <cell r="H25" t="str">
            <v>H</v>
          </cell>
          <cell r="I25" t="str">
            <v>Старобогородчанська</v>
          </cell>
        </row>
        <row r="26">
          <cell r="C26" t="str">
            <v>UA26040330000019235</v>
          </cell>
          <cell r="F26" t="str">
            <v>UA26040330000019235</v>
          </cell>
          <cell r="G26">
            <v>3</v>
          </cell>
          <cell r="H26" t="str">
            <v>H</v>
          </cell>
          <cell r="I26" t="str">
            <v>Тисменицька</v>
          </cell>
        </row>
        <row r="27">
          <cell r="C27" t="str">
            <v>UA26040350000024417</v>
          </cell>
          <cell r="F27" t="str">
            <v>UA26040350000024417</v>
          </cell>
          <cell r="G27">
            <v>3</v>
          </cell>
          <cell r="H27" t="str">
            <v>H</v>
          </cell>
          <cell r="I27" t="str">
            <v>Тлумацька</v>
          </cell>
        </row>
        <row r="28">
          <cell r="C28" t="str">
            <v>UA26040370000057019</v>
          </cell>
          <cell r="F28" t="str">
            <v>UA26040370000057019</v>
          </cell>
          <cell r="G28">
            <v>3</v>
          </cell>
          <cell r="H28" t="str">
            <v>H</v>
          </cell>
          <cell r="I28" t="str">
            <v>Угринiвська</v>
          </cell>
        </row>
        <row r="29">
          <cell r="C29" t="str">
            <v>UA26040390000023006</v>
          </cell>
          <cell r="F29" t="str">
            <v>UA26040390000023006</v>
          </cell>
          <cell r="G29">
            <v>3</v>
          </cell>
          <cell r="H29" t="str">
            <v>H</v>
          </cell>
          <cell r="I29" t="str">
            <v>Ямницька</v>
          </cell>
        </row>
        <row r="30">
          <cell r="C30" t="str">
            <v>UA26060010000037638</v>
          </cell>
          <cell r="F30" t="str">
            <v>UA26060010000037638</v>
          </cell>
          <cell r="G30">
            <v>3</v>
          </cell>
          <cell r="H30" t="str">
            <v>H</v>
          </cell>
          <cell r="I30" t="str">
            <v>Болехiвська</v>
          </cell>
        </row>
        <row r="31">
          <cell r="C31" t="str">
            <v>UA26060030000011364</v>
          </cell>
          <cell r="F31" t="str">
            <v>UA26060030000011364</v>
          </cell>
          <cell r="G31">
            <v>3</v>
          </cell>
          <cell r="H31" t="str">
            <v>H</v>
          </cell>
          <cell r="I31" t="str">
            <v>Брошнiв-Осадська</v>
          </cell>
        </row>
        <row r="32">
          <cell r="C32" t="str">
            <v>UA26060050000042523</v>
          </cell>
          <cell r="F32" t="str">
            <v>UA26060050000042523</v>
          </cell>
          <cell r="G32">
            <v>3</v>
          </cell>
          <cell r="H32" t="str">
            <v>H</v>
          </cell>
          <cell r="I32" t="str">
            <v>Верхнянська</v>
          </cell>
        </row>
        <row r="33">
          <cell r="C33" t="str">
            <v>UA26060070000011203</v>
          </cell>
          <cell r="F33" t="str">
            <v>UA26060070000011203</v>
          </cell>
          <cell r="G33">
            <v>3</v>
          </cell>
          <cell r="H33" t="str">
            <v>H</v>
          </cell>
          <cell r="I33" t="str">
            <v>Вигодська</v>
          </cell>
        </row>
        <row r="34">
          <cell r="C34" t="str">
            <v>UA26060090000054411</v>
          </cell>
          <cell r="F34" t="str">
            <v>UA26060090000054411</v>
          </cell>
          <cell r="G34">
            <v>3</v>
          </cell>
          <cell r="H34" t="str">
            <v>H</v>
          </cell>
          <cell r="I34" t="str">
            <v>Витвицька</v>
          </cell>
        </row>
        <row r="35">
          <cell r="C35" t="str">
            <v>UA26060110000025739</v>
          </cell>
          <cell r="F35" t="str">
            <v>UA26060110000025739</v>
          </cell>
          <cell r="G35">
            <v>3</v>
          </cell>
          <cell r="H35" t="str">
            <v>H</v>
          </cell>
          <cell r="I35" t="str">
            <v>Войнилiвська</v>
          </cell>
        </row>
        <row r="36">
          <cell r="C36" t="str">
            <v>UA26060130000047466</v>
          </cell>
          <cell r="F36" t="str">
            <v>UA26060130000047466</v>
          </cell>
          <cell r="G36">
            <v>3</v>
          </cell>
          <cell r="H36" t="str">
            <v>H</v>
          </cell>
          <cell r="I36" t="str">
            <v>Долинська</v>
          </cell>
        </row>
        <row r="37">
          <cell r="C37" t="str">
            <v>UA26060150000074921</v>
          </cell>
          <cell r="F37" t="str">
            <v>UA26060150000074921</v>
          </cell>
          <cell r="G37">
            <v>3</v>
          </cell>
          <cell r="H37" t="str">
            <v>H</v>
          </cell>
          <cell r="I37" t="str">
            <v>Дубiвська</v>
          </cell>
        </row>
        <row r="38">
          <cell r="C38" t="str">
            <v>UA26060190000099075</v>
          </cell>
          <cell r="F38" t="str">
            <v>UA26060190000099075</v>
          </cell>
          <cell r="G38">
            <v>3</v>
          </cell>
          <cell r="H38" t="str">
            <v>H</v>
          </cell>
          <cell r="I38" t="str">
            <v>Новицька</v>
          </cell>
        </row>
        <row r="39">
          <cell r="C39" t="str">
            <v>UA26060210000091421</v>
          </cell>
          <cell r="F39" t="str">
            <v>UA26060210000091421</v>
          </cell>
          <cell r="G39">
            <v>3</v>
          </cell>
          <cell r="H39" t="str">
            <v>H</v>
          </cell>
          <cell r="I39" t="str">
            <v>Перегiнська</v>
          </cell>
        </row>
        <row r="40">
          <cell r="C40" t="str">
            <v>UA26060230000053464</v>
          </cell>
          <cell r="F40" t="str">
            <v>UA26060230000053464</v>
          </cell>
          <cell r="G40">
            <v>3</v>
          </cell>
          <cell r="H40" t="str">
            <v>H</v>
          </cell>
          <cell r="I40" t="str">
            <v>Рожнятiвська</v>
          </cell>
        </row>
        <row r="41">
          <cell r="C41" t="str">
            <v>UA26060250000064599</v>
          </cell>
          <cell r="F41" t="str">
            <v>UA26060250000064599</v>
          </cell>
          <cell r="G41">
            <v>3</v>
          </cell>
          <cell r="H41" t="str">
            <v>H</v>
          </cell>
          <cell r="I41" t="str">
            <v>Спаська</v>
          </cell>
        </row>
        <row r="42">
          <cell r="C42" t="str">
            <v>UA26080010000036750</v>
          </cell>
          <cell r="F42" t="str">
            <v>UA26080010000036750</v>
          </cell>
          <cell r="G42">
            <v>3</v>
          </cell>
          <cell r="H42" t="str">
            <v>H</v>
          </cell>
          <cell r="I42" t="str">
            <v>Гвiздецька</v>
          </cell>
        </row>
        <row r="43">
          <cell r="C43" t="str">
            <v>UA26080030000014307</v>
          </cell>
          <cell r="F43" t="str">
            <v>UA26080030000014307</v>
          </cell>
          <cell r="G43">
            <v>3</v>
          </cell>
          <cell r="H43" t="str">
            <v>H</v>
          </cell>
          <cell r="I43" t="str">
            <v>Городенкiвська</v>
          </cell>
        </row>
        <row r="44">
          <cell r="C44" t="str">
            <v>UA26080050000081474</v>
          </cell>
          <cell r="F44" t="str">
            <v>UA26080050000081474</v>
          </cell>
          <cell r="G44">
            <v>3</v>
          </cell>
          <cell r="H44" t="str">
            <v>H</v>
          </cell>
          <cell r="I44" t="str">
            <v>Заболотiвська</v>
          </cell>
        </row>
        <row r="45">
          <cell r="C45" t="str">
            <v>UA26080090000095729</v>
          </cell>
          <cell r="F45" t="str">
            <v>UA26080090000095729</v>
          </cell>
          <cell r="G45">
            <v>3</v>
          </cell>
          <cell r="H45" t="str">
            <v>H</v>
          </cell>
          <cell r="I45" t="str">
            <v>Коршiвська</v>
          </cell>
        </row>
        <row r="46">
          <cell r="C46" t="str">
            <v>UA26080110000076323</v>
          </cell>
          <cell r="F46" t="str">
            <v>UA26080110000076323</v>
          </cell>
          <cell r="G46">
            <v>3</v>
          </cell>
          <cell r="H46" t="str">
            <v>H</v>
          </cell>
          <cell r="I46" t="str">
            <v>Матеївецька</v>
          </cell>
        </row>
        <row r="47">
          <cell r="C47" t="str">
            <v>UA26080130000058024</v>
          </cell>
          <cell r="F47" t="str">
            <v>UA26080130000058024</v>
          </cell>
          <cell r="G47">
            <v>3</v>
          </cell>
          <cell r="H47" t="str">
            <v>H</v>
          </cell>
          <cell r="I47" t="str">
            <v>Нижньовербiзька</v>
          </cell>
        </row>
        <row r="48">
          <cell r="C48" t="str">
            <v>UA26080150000032640</v>
          </cell>
          <cell r="F48" t="str">
            <v>UA26080150000032640</v>
          </cell>
          <cell r="G48">
            <v>3</v>
          </cell>
          <cell r="H48" t="str">
            <v>H</v>
          </cell>
          <cell r="I48" t="str">
            <v>Отинiйська</v>
          </cell>
        </row>
        <row r="49">
          <cell r="C49" t="str">
            <v>UA26080170000041182</v>
          </cell>
          <cell r="F49" t="str">
            <v>UA26080170000041182</v>
          </cell>
          <cell r="G49">
            <v>3</v>
          </cell>
          <cell r="H49" t="str">
            <v>H</v>
          </cell>
          <cell r="I49" t="str">
            <v>Печенiжинська</v>
          </cell>
        </row>
        <row r="50">
          <cell r="C50" t="str">
            <v>UA26080190000080618</v>
          </cell>
          <cell r="F50" t="str">
            <v>UA26080190000080618</v>
          </cell>
          <cell r="G50">
            <v>3</v>
          </cell>
          <cell r="H50" t="str">
            <v>H</v>
          </cell>
          <cell r="I50" t="str">
            <v>Пiдгайчикiвська</v>
          </cell>
        </row>
        <row r="51">
          <cell r="C51" t="str">
            <v>UA26080210000049380</v>
          </cell>
          <cell r="F51" t="str">
            <v>UA26080210000049380</v>
          </cell>
          <cell r="G51">
            <v>3</v>
          </cell>
          <cell r="H51" t="str">
            <v>H</v>
          </cell>
          <cell r="I51" t="str">
            <v>П'ядицька</v>
          </cell>
        </row>
        <row r="52">
          <cell r="C52" t="str">
            <v>UA26080230000035462</v>
          </cell>
          <cell r="F52" t="str">
            <v>UA26080230000035462</v>
          </cell>
          <cell r="G52">
            <v>3</v>
          </cell>
          <cell r="H52" t="str">
            <v>H</v>
          </cell>
          <cell r="I52" t="str">
            <v>Снятинська</v>
          </cell>
        </row>
        <row r="53">
          <cell r="C53" t="str">
            <v>UA26040010000011271</v>
          </cell>
          <cell r="F53" t="str">
            <v>UA26040010000011271</v>
          </cell>
          <cell r="G53">
            <v>3</v>
          </cell>
          <cell r="H53" t="str">
            <v>H</v>
          </cell>
          <cell r="I53" t="str">
            <v>Бiльшiвцiвська</v>
          </cell>
        </row>
        <row r="54">
          <cell r="C54" t="str">
            <v>UA26040030000091528</v>
          </cell>
          <cell r="F54" t="str">
            <v>UA26040030000091528</v>
          </cell>
          <cell r="G54">
            <v>3</v>
          </cell>
          <cell r="H54" t="str">
            <v>H</v>
          </cell>
          <cell r="I54" t="str">
            <v>Богородчанська</v>
          </cell>
        </row>
        <row r="55">
          <cell r="C55" t="str">
            <v>UA26080250000056546</v>
          </cell>
          <cell r="F55" t="str">
            <v>UA26080250000056546</v>
          </cell>
          <cell r="G55">
            <v>3</v>
          </cell>
          <cell r="H55" t="str">
            <v>H</v>
          </cell>
          <cell r="I55" t="str">
            <v>Чернелицька</v>
          </cell>
        </row>
        <row r="56">
          <cell r="C56" t="str">
            <v>UA26120010000096774</v>
          </cell>
          <cell r="F56" t="str">
            <v>UA26120010000096774</v>
          </cell>
          <cell r="G56">
            <v>3</v>
          </cell>
          <cell r="H56" t="str">
            <v>H</v>
          </cell>
          <cell r="I56" t="str">
            <v>Ворохтянська</v>
          </cell>
        </row>
        <row r="57">
          <cell r="C57" t="str">
            <v>UA26120130000088448</v>
          </cell>
          <cell r="F57" t="str">
            <v>UA26120130000088448</v>
          </cell>
          <cell r="G57">
            <v>3</v>
          </cell>
          <cell r="H57" t="str">
            <v>H</v>
          </cell>
          <cell r="I57" t="str">
            <v>Поляницька</v>
          </cell>
        </row>
        <row r="58">
          <cell r="C58" t="str">
            <v>UA26040050000080752</v>
          </cell>
          <cell r="F58" t="str">
            <v>UA26040050000080752</v>
          </cell>
          <cell r="G58">
            <v>3</v>
          </cell>
          <cell r="H58" t="str">
            <v>H</v>
          </cell>
          <cell r="I58" t="str">
            <v>Букачiвська</v>
          </cell>
        </row>
        <row r="59">
          <cell r="C59" t="str">
            <v>UA26040070000065724</v>
          </cell>
          <cell r="F59" t="str">
            <v>UA26040070000065724</v>
          </cell>
          <cell r="G59">
            <v>3</v>
          </cell>
          <cell r="H59" t="str">
            <v>H</v>
          </cell>
          <cell r="I59" t="str">
            <v>Бурштинська</v>
          </cell>
        </row>
        <row r="60">
          <cell r="C60" t="str">
            <v>UA26040090000025932</v>
          </cell>
          <cell r="F60" t="str">
            <v>UA26040090000025932</v>
          </cell>
          <cell r="G60">
            <v>3</v>
          </cell>
          <cell r="H60" t="str">
            <v>H</v>
          </cell>
          <cell r="I60" t="str">
            <v>Галицька</v>
          </cell>
        </row>
        <row r="61">
          <cell r="C61" t="str">
            <v>UA26120150000021671</v>
          </cell>
          <cell r="F61" t="str">
            <v>UA26120150000021671</v>
          </cell>
          <cell r="G61">
            <v>3</v>
          </cell>
          <cell r="H61" t="str">
            <v>H</v>
          </cell>
          <cell r="I61" t="str">
            <v>Яремчанська</v>
          </cell>
        </row>
        <row r="62">
          <cell r="C62" t="str">
            <v>UA26040110000023512</v>
          </cell>
          <cell r="F62" t="str">
            <v>UA26040110000023512</v>
          </cell>
          <cell r="G62">
            <v>3</v>
          </cell>
          <cell r="H62" t="str">
            <v>H</v>
          </cell>
          <cell r="I62" t="str">
            <v>Дзвиняцька</v>
          </cell>
        </row>
        <row r="63">
          <cell r="C63" t="str">
            <v>UA26040130000010870</v>
          </cell>
          <cell r="F63" t="str">
            <v>UA26040130000010870</v>
          </cell>
          <cell r="G63">
            <v>3</v>
          </cell>
          <cell r="H63" t="str">
            <v>H</v>
          </cell>
          <cell r="I63" t="str">
            <v>Дубовецька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E4" sqref="E4"/>
    </sheetView>
  </sheetViews>
  <sheetFormatPr defaultRowHeight="15" x14ac:dyDescent="0.25"/>
  <cols>
    <col min="1" max="2" width="22.85546875" customWidth="1"/>
    <col min="3" max="4" width="12.28515625" customWidth="1"/>
    <col min="5" max="5" width="11.7109375" customWidth="1"/>
  </cols>
  <sheetData>
    <row r="1" spans="1:5" ht="60" x14ac:dyDescent="0.25">
      <c r="A1" s="3" t="s">
        <v>0</v>
      </c>
      <c r="B1" s="3" t="s">
        <v>59</v>
      </c>
      <c r="C1" s="4" t="s">
        <v>56</v>
      </c>
      <c r="D1" s="4" t="s">
        <v>57</v>
      </c>
      <c r="E1" s="4" t="s">
        <v>58</v>
      </c>
    </row>
    <row r="2" spans="1:5" x14ac:dyDescent="0.25">
      <c r="A2" s="2" t="s">
        <v>2</v>
      </c>
      <c r="B2" s="2" t="str">
        <f>VLOOKUP(A2,'[1]Sheet 1'!$C$2:$I$63,7,0)</f>
        <v>Поляницька</v>
      </c>
      <c r="C2" s="1">
        <v>98934206.299999997</v>
      </c>
      <c r="D2" s="1">
        <v>514707.86</v>
      </c>
      <c r="E2" s="1">
        <v>5163447.2</v>
      </c>
    </row>
    <row r="3" spans="1:5" x14ac:dyDescent="0.25">
      <c r="A3" s="2" t="s">
        <v>1</v>
      </c>
      <c r="B3" s="2" t="str">
        <f>VLOOKUP(A3,'[1]Sheet 1'!$C$2:$I$63,7,0)</f>
        <v>Iвано-Франкiвська</v>
      </c>
      <c r="C3" s="1">
        <v>132862878.14</v>
      </c>
      <c r="D3" s="1">
        <v>16872.36</v>
      </c>
      <c r="E3" s="1">
        <v>1265910</v>
      </c>
    </row>
    <row r="4" spans="1:5" x14ac:dyDescent="0.25">
      <c r="A4" s="2" t="s">
        <v>3</v>
      </c>
      <c r="B4" s="2" t="str">
        <f>VLOOKUP(A4,'[1]Sheet 1'!$C$2:$I$63,7,0)</f>
        <v>Яремчанська</v>
      </c>
      <c r="C4" s="1">
        <v>16166757.210000001</v>
      </c>
      <c r="D4" s="1">
        <v>4667.17</v>
      </c>
      <c r="E4" s="1">
        <v>867619.08</v>
      </c>
    </row>
    <row r="5" spans="1:5" x14ac:dyDescent="0.25">
      <c r="A5" s="2" t="s">
        <v>5</v>
      </c>
      <c r="B5" s="2" t="str">
        <f>VLOOKUP(A5,'[1]Sheet 1'!$C$2:$I$63,7,0)</f>
        <v>Коломийська</v>
      </c>
      <c r="C5" s="1">
        <v>8447579.0199999996</v>
      </c>
      <c r="D5" s="1">
        <v>822.06</v>
      </c>
      <c r="E5" s="1">
        <v>52287</v>
      </c>
    </row>
    <row r="6" spans="1:5" x14ac:dyDescent="0.25">
      <c r="A6" s="2" t="s">
        <v>15</v>
      </c>
      <c r="B6" s="2" t="str">
        <f>VLOOKUP(A6,'[1]Sheet 1'!$C$2:$I$63,7,0)</f>
        <v>Ворохтянська</v>
      </c>
      <c r="C6" s="1">
        <v>2407778.7999999998</v>
      </c>
      <c r="D6" s="1">
        <v>1399.2</v>
      </c>
      <c r="E6" s="1">
        <v>35145.21</v>
      </c>
    </row>
    <row r="7" spans="1:5" x14ac:dyDescent="0.25">
      <c r="A7" s="2" t="s">
        <v>10</v>
      </c>
      <c r="B7" s="2" t="str">
        <f>VLOOKUP(A7,'[1]Sheet 1'!$C$2:$I$63,7,0)</f>
        <v>Рогатинська</v>
      </c>
      <c r="C7" s="1">
        <v>2786864.53</v>
      </c>
      <c r="D7" s="1">
        <v>0</v>
      </c>
      <c r="E7" s="1">
        <v>11809.5</v>
      </c>
    </row>
    <row r="8" spans="1:5" x14ac:dyDescent="0.25">
      <c r="A8" s="2" t="s">
        <v>23</v>
      </c>
      <c r="B8" s="2" t="str">
        <f>VLOOKUP(A8,'[1]Sheet 1'!$C$2:$I$63,7,0)</f>
        <v>Верховинська</v>
      </c>
      <c r="C8" s="1">
        <v>793256.91</v>
      </c>
      <c r="D8" s="1">
        <v>33987.56</v>
      </c>
      <c r="E8" s="1">
        <v>6977</v>
      </c>
    </row>
    <row r="9" spans="1:5" x14ac:dyDescent="0.25">
      <c r="A9" s="2" t="s">
        <v>25</v>
      </c>
      <c r="B9" s="2" t="str">
        <f>VLOOKUP(A9,'[1]Sheet 1'!$C$2:$I$63,7,0)</f>
        <v>Богородчанська</v>
      </c>
      <c r="C9" s="1">
        <v>496040.63</v>
      </c>
      <c r="D9" s="1">
        <v>0</v>
      </c>
      <c r="E9" s="1">
        <v>3220.5</v>
      </c>
    </row>
    <row r="10" spans="1:5" x14ac:dyDescent="0.25">
      <c r="A10" s="2" t="s">
        <v>4</v>
      </c>
      <c r="B10" s="2" t="str">
        <f>VLOOKUP(A10,'[1]Sheet 1'!$C$2:$I$63,7,0)</f>
        <v>Калуська</v>
      </c>
      <c r="C10" s="1">
        <v>13825220.130000001</v>
      </c>
      <c r="D10" s="1">
        <v>883.46</v>
      </c>
      <c r="E10" s="1">
        <v>2971.32</v>
      </c>
    </row>
    <row r="11" spans="1:5" x14ac:dyDescent="0.25">
      <c r="A11" s="2" t="s">
        <v>12</v>
      </c>
      <c r="B11" s="2" t="str">
        <f>VLOOKUP(A11,'[1]Sheet 1'!$C$2:$I$63,7,0)</f>
        <v>Вигодська</v>
      </c>
      <c r="C11" s="1">
        <v>2566553.31</v>
      </c>
      <c r="D11" s="1">
        <v>1312.99</v>
      </c>
      <c r="E11" s="1">
        <v>1468</v>
      </c>
    </row>
    <row r="12" spans="1:5" x14ac:dyDescent="0.25">
      <c r="A12" s="2" t="s">
        <v>11</v>
      </c>
      <c r="B12" s="2" t="str">
        <f>VLOOKUP(A12,'[1]Sheet 1'!$C$2:$I$63,7,0)</f>
        <v>Угринiвська</v>
      </c>
      <c r="C12" s="1">
        <v>2709073.33</v>
      </c>
      <c r="D12" s="1">
        <v>0</v>
      </c>
      <c r="E12" s="1">
        <v>904.96</v>
      </c>
    </row>
    <row r="13" spans="1:5" x14ac:dyDescent="0.25">
      <c r="A13" s="2" t="s">
        <v>34</v>
      </c>
      <c r="B13" s="2" t="str">
        <f>VLOOKUP(A13,'[1]Sheet 1'!$C$2:$I$63,7,0)</f>
        <v>Кутська</v>
      </c>
      <c r="C13" s="1">
        <v>243260.27</v>
      </c>
      <c r="D13" s="1">
        <v>13</v>
      </c>
      <c r="E13" s="1">
        <v>400</v>
      </c>
    </row>
    <row r="14" spans="1:5" x14ac:dyDescent="0.25">
      <c r="A14" s="2" t="s">
        <v>6</v>
      </c>
      <c r="B14" s="2" t="str">
        <f>VLOOKUP(A14,'[1]Sheet 1'!$C$2:$I$63,7,0)</f>
        <v>Надвiрнянська</v>
      </c>
      <c r="C14" s="1">
        <v>4439251.1100000003</v>
      </c>
      <c r="D14" s="1">
        <v>705.28</v>
      </c>
      <c r="E14" s="1">
        <v>0</v>
      </c>
    </row>
    <row r="15" spans="1:5" x14ac:dyDescent="0.25">
      <c r="A15" s="2" t="s">
        <v>7</v>
      </c>
      <c r="B15" s="2" t="str">
        <f>VLOOKUP(A15,'[1]Sheet 1'!$C$2:$I$63,7,0)</f>
        <v>Ямницька</v>
      </c>
      <c r="C15" s="1">
        <v>3716101.93</v>
      </c>
      <c r="D15" s="1">
        <v>0</v>
      </c>
      <c r="E15" s="1">
        <v>0</v>
      </c>
    </row>
    <row r="16" spans="1:5" x14ac:dyDescent="0.25">
      <c r="A16" s="2" t="s">
        <v>8</v>
      </c>
      <c r="B16" s="2" t="str">
        <f>VLOOKUP(A16,'[1]Sheet 1'!$C$2:$I$63,7,0)</f>
        <v>Долинська</v>
      </c>
      <c r="C16" s="1">
        <v>3484485.21</v>
      </c>
      <c r="D16" s="1">
        <v>0</v>
      </c>
      <c r="E16" s="1">
        <v>0</v>
      </c>
    </row>
    <row r="17" spans="1:5" x14ac:dyDescent="0.25">
      <c r="A17" s="2" t="s">
        <v>9</v>
      </c>
      <c r="B17" s="2" t="str">
        <f>VLOOKUP(A17,'[1]Sheet 1'!$C$2:$I$63,7,0)</f>
        <v>Тисменицька</v>
      </c>
      <c r="C17" s="1">
        <v>3060274.61</v>
      </c>
      <c r="D17" s="1">
        <v>25</v>
      </c>
      <c r="E17" s="1">
        <v>0</v>
      </c>
    </row>
    <row r="18" spans="1:5" x14ac:dyDescent="0.25">
      <c r="A18" s="2" t="s">
        <v>13</v>
      </c>
      <c r="B18" s="2" t="str">
        <f>VLOOKUP(A18,'[1]Sheet 1'!$C$2:$I$63,7,0)</f>
        <v>Галицька</v>
      </c>
      <c r="C18" s="1">
        <v>2484832.56</v>
      </c>
      <c r="D18" s="1">
        <v>0</v>
      </c>
      <c r="E18" s="1">
        <v>0</v>
      </c>
    </row>
    <row r="19" spans="1:5" x14ac:dyDescent="0.25">
      <c r="A19" s="2" t="s">
        <v>14</v>
      </c>
      <c r="B19" s="2" t="str">
        <f>VLOOKUP(A19,'[1]Sheet 1'!$C$2:$I$63,7,0)</f>
        <v>Зеленська</v>
      </c>
      <c r="C19" s="1">
        <v>2417571.52</v>
      </c>
      <c r="D19" s="1">
        <v>0</v>
      </c>
      <c r="E19" s="1">
        <v>0</v>
      </c>
    </row>
    <row r="20" spans="1:5" x14ac:dyDescent="0.25">
      <c r="A20" s="2" t="s">
        <v>16</v>
      </c>
      <c r="B20" s="2" t="str">
        <f>VLOOKUP(A20,'[1]Sheet 1'!$C$2:$I$63,7,0)</f>
        <v>Старобогородчанська</v>
      </c>
      <c r="C20" s="1">
        <v>2336383.2200000002</v>
      </c>
      <c r="D20" s="1">
        <v>0</v>
      </c>
      <c r="E20" s="1">
        <v>0</v>
      </c>
    </row>
    <row r="21" spans="1:5" x14ac:dyDescent="0.25">
      <c r="A21" s="2" t="s">
        <v>17</v>
      </c>
      <c r="B21" s="2" t="str">
        <f>VLOOKUP(A21,'[1]Sheet 1'!$C$2:$I$63,7,0)</f>
        <v>Лисецька</v>
      </c>
      <c r="C21" s="1">
        <v>1876877.3</v>
      </c>
      <c r="D21" s="1">
        <v>0</v>
      </c>
      <c r="E21" s="1">
        <v>0</v>
      </c>
    </row>
    <row r="22" spans="1:5" x14ac:dyDescent="0.25">
      <c r="A22" s="2" t="s">
        <v>18</v>
      </c>
      <c r="B22" s="2" t="str">
        <f>VLOOKUP(A22,'[1]Sheet 1'!$C$2:$I$63,7,0)</f>
        <v>Городенкiвська</v>
      </c>
      <c r="C22" s="1">
        <v>1618611.72</v>
      </c>
      <c r="D22" s="1">
        <v>60.8</v>
      </c>
      <c r="E22" s="1">
        <v>0</v>
      </c>
    </row>
    <row r="23" spans="1:5" x14ac:dyDescent="0.25">
      <c r="A23" s="2" t="s">
        <v>19</v>
      </c>
      <c r="B23" s="2" t="str">
        <f>VLOOKUP(A23,'[1]Sheet 1'!$C$2:$I$63,7,0)</f>
        <v>Бурштинська</v>
      </c>
      <c r="C23" s="1">
        <v>1331966.55</v>
      </c>
      <c r="D23" s="1">
        <v>0</v>
      </c>
      <c r="E23" s="1">
        <v>0</v>
      </c>
    </row>
    <row r="24" spans="1:5" x14ac:dyDescent="0.25">
      <c r="A24" s="2" t="s">
        <v>20</v>
      </c>
      <c r="B24" s="2" t="str">
        <f>VLOOKUP(A24,'[1]Sheet 1'!$C$2:$I$63,7,0)</f>
        <v>Косiвська</v>
      </c>
      <c r="C24" s="1">
        <v>1143784.08</v>
      </c>
      <c r="D24" s="1">
        <v>2023.93</v>
      </c>
      <c r="E24" s="1">
        <v>0</v>
      </c>
    </row>
    <row r="25" spans="1:5" x14ac:dyDescent="0.25">
      <c r="A25" s="2" t="s">
        <v>21</v>
      </c>
      <c r="B25" s="2" t="str">
        <f>VLOOKUP(A25,'[1]Sheet 1'!$C$2:$I$63,7,0)</f>
        <v>Олешанська</v>
      </c>
      <c r="C25" s="1">
        <v>986037.59</v>
      </c>
      <c r="D25" s="1">
        <v>0</v>
      </c>
      <c r="E25" s="1">
        <v>0</v>
      </c>
    </row>
    <row r="26" spans="1:5" x14ac:dyDescent="0.25">
      <c r="A26" s="2" t="s">
        <v>22</v>
      </c>
      <c r="B26" s="2" t="str">
        <f>VLOOKUP(A26,'[1]Sheet 1'!$C$2:$I$63,7,0)</f>
        <v>Снятинська</v>
      </c>
      <c r="C26" s="1">
        <v>957291.89</v>
      </c>
      <c r="D26" s="1">
        <v>349.72</v>
      </c>
      <c r="E26" s="1">
        <v>0</v>
      </c>
    </row>
    <row r="27" spans="1:5" x14ac:dyDescent="0.25">
      <c r="A27" s="2" t="s">
        <v>24</v>
      </c>
      <c r="B27" s="2" t="str">
        <f>VLOOKUP(A27,'[1]Sheet 1'!$C$2:$I$63,7,0)</f>
        <v>Рожнятiвська</v>
      </c>
      <c r="C27" s="1">
        <v>645158.46</v>
      </c>
      <c r="D27" s="1">
        <v>252</v>
      </c>
      <c r="E27" s="1">
        <v>0</v>
      </c>
    </row>
    <row r="28" spans="1:5" x14ac:dyDescent="0.25">
      <c r="A28" s="2" t="s">
        <v>26</v>
      </c>
      <c r="B28" s="2" t="str">
        <f>VLOOKUP(A28,'[1]Sheet 1'!$C$2:$I$63,7,0)</f>
        <v>Дубiвська</v>
      </c>
      <c r="C28" s="1">
        <v>477386.67</v>
      </c>
      <c r="D28" s="1">
        <v>0</v>
      </c>
      <c r="E28" s="1">
        <v>0</v>
      </c>
    </row>
    <row r="29" spans="1:5" x14ac:dyDescent="0.25">
      <c r="A29" s="2" t="s">
        <v>27</v>
      </c>
      <c r="B29" s="2" t="str">
        <f>VLOOKUP(A29,'[1]Sheet 1'!$C$2:$I$63,7,0)</f>
        <v>Печенiжинська</v>
      </c>
      <c r="C29" s="1">
        <v>464611.06</v>
      </c>
      <c r="D29" s="1">
        <v>0</v>
      </c>
      <c r="E29" s="1">
        <v>0</v>
      </c>
    </row>
    <row r="30" spans="1:5" x14ac:dyDescent="0.25">
      <c r="A30" s="2" t="s">
        <v>28</v>
      </c>
      <c r="B30" s="2" t="str">
        <f>VLOOKUP(A30,'[1]Sheet 1'!$C$2:$I$63,7,0)</f>
        <v>Болехiвська</v>
      </c>
      <c r="C30" s="1">
        <v>400290.56</v>
      </c>
      <c r="D30" s="1">
        <v>0</v>
      </c>
      <c r="E30" s="1">
        <v>0</v>
      </c>
    </row>
    <row r="31" spans="1:5" x14ac:dyDescent="0.25">
      <c r="A31" s="2" t="s">
        <v>29</v>
      </c>
      <c r="B31" s="2" t="str">
        <f>VLOOKUP(A31,'[1]Sheet 1'!$C$2:$I$63,7,0)</f>
        <v>Отинiйська</v>
      </c>
      <c r="C31" s="1">
        <v>367107.57</v>
      </c>
      <c r="D31" s="1">
        <v>0</v>
      </c>
      <c r="E31" s="1">
        <v>0</v>
      </c>
    </row>
    <row r="32" spans="1:5" x14ac:dyDescent="0.25">
      <c r="A32" s="2" t="s">
        <v>30</v>
      </c>
      <c r="B32" s="2" t="str">
        <f>VLOOKUP(A32,'[1]Sheet 1'!$C$2:$I$63,7,0)</f>
        <v>Яблунiвська</v>
      </c>
      <c r="C32" s="1">
        <v>360383.19</v>
      </c>
      <c r="D32" s="1">
        <v>0</v>
      </c>
      <c r="E32" s="1">
        <v>0</v>
      </c>
    </row>
    <row r="33" spans="1:5" x14ac:dyDescent="0.25">
      <c r="A33" s="2" t="s">
        <v>31</v>
      </c>
      <c r="B33" s="2" t="str">
        <f>VLOOKUP(A33,'[1]Sheet 1'!$C$2:$I$63,7,0)</f>
        <v>Єзупiльська</v>
      </c>
      <c r="C33" s="1">
        <v>354386</v>
      </c>
      <c r="D33" s="1">
        <v>0</v>
      </c>
      <c r="E33" s="1">
        <v>0</v>
      </c>
    </row>
    <row r="34" spans="1:5" x14ac:dyDescent="0.25">
      <c r="A34" s="2" t="s">
        <v>32</v>
      </c>
      <c r="B34" s="2" t="str">
        <f>VLOOKUP(A34,'[1]Sheet 1'!$C$2:$I$63,7,0)</f>
        <v>Брошнiв-Осадська</v>
      </c>
      <c r="C34" s="1">
        <v>299429.19</v>
      </c>
      <c r="D34" s="1">
        <v>0</v>
      </c>
      <c r="E34" s="1">
        <v>0</v>
      </c>
    </row>
    <row r="35" spans="1:5" x14ac:dyDescent="0.25">
      <c r="A35" s="2" t="s">
        <v>33</v>
      </c>
      <c r="B35" s="2" t="str">
        <f>VLOOKUP(A35,'[1]Sheet 1'!$C$2:$I$63,7,0)</f>
        <v>Солотвинська</v>
      </c>
      <c r="C35" s="1">
        <v>283795.34000000003</v>
      </c>
      <c r="D35" s="1">
        <v>0</v>
      </c>
      <c r="E35" s="1">
        <v>0</v>
      </c>
    </row>
    <row r="36" spans="1:5" x14ac:dyDescent="0.25">
      <c r="A36" s="2" t="s">
        <v>35</v>
      </c>
      <c r="B36" s="2" t="str">
        <f>VLOOKUP(A36,'[1]Sheet 1'!$C$2:$I$63,7,0)</f>
        <v>Делятинська</v>
      </c>
      <c r="C36" s="1">
        <v>226606.95</v>
      </c>
      <c r="D36" s="1">
        <v>0</v>
      </c>
      <c r="E36" s="1">
        <v>0</v>
      </c>
    </row>
    <row r="37" spans="1:5" x14ac:dyDescent="0.25">
      <c r="A37" s="2" t="s">
        <v>36</v>
      </c>
      <c r="B37" s="2" t="str">
        <f>VLOOKUP(A37,'[1]Sheet 1'!$C$2:$I$63,7,0)</f>
        <v>Нижньовербiзька</v>
      </c>
      <c r="C37" s="1">
        <v>217732.34</v>
      </c>
      <c r="D37" s="1">
        <v>0</v>
      </c>
      <c r="E37" s="1">
        <v>0</v>
      </c>
    </row>
    <row r="38" spans="1:5" x14ac:dyDescent="0.25">
      <c r="A38" s="2" t="s">
        <v>37</v>
      </c>
      <c r="B38" s="2" t="str">
        <f>VLOOKUP(A38,'[1]Sheet 1'!$C$2:$I$63,7,0)</f>
        <v>Пасiчнянська</v>
      </c>
      <c r="C38" s="1">
        <v>199777.12</v>
      </c>
      <c r="D38" s="1">
        <v>0</v>
      </c>
      <c r="E38" s="1">
        <v>0</v>
      </c>
    </row>
    <row r="39" spans="1:5" x14ac:dyDescent="0.25">
      <c r="A39" s="2" t="s">
        <v>38</v>
      </c>
      <c r="B39" s="2" t="str">
        <f>VLOOKUP(A39,'[1]Sheet 1'!$C$2:$I$63,7,0)</f>
        <v>Ланчинська</v>
      </c>
      <c r="C39" s="1">
        <v>181773.06</v>
      </c>
      <c r="D39" s="1">
        <v>0</v>
      </c>
      <c r="E39" s="1">
        <v>0</v>
      </c>
    </row>
    <row r="40" spans="1:5" x14ac:dyDescent="0.25">
      <c r="A40" s="2" t="s">
        <v>39</v>
      </c>
      <c r="B40" s="2" t="str">
        <f>VLOOKUP(A40,'[1]Sheet 1'!$C$2:$I$63,7,0)</f>
        <v>Бiльшiвцiвська</v>
      </c>
      <c r="C40" s="1">
        <v>167475.06</v>
      </c>
      <c r="D40" s="1">
        <v>0</v>
      </c>
      <c r="E40" s="1">
        <v>0</v>
      </c>
    </row>
    <row r="41" spans="1:5" x14ac:dyDescent="0.25">
      <c r="A41" s="2" t="s">
        <v>40</v>
      </c>
      <c r="B41" s="2" t="str">
        <f>VLOOKUP(A41,'[1]Sheet 1'!$C$2:$I$63,7,0)</f>
        <v>П'ядицька</v>
      </c>
      <c r="C41" s="1">
        <v>164382.43</v>
      </c>
      <c r="D41" s="1">
        <v>0</v>
      </c>
      <c r="E41" s="1">
        <v>0</v>
      </c>
    </row>
    <row r="42" spans="1:5" x14ac:dyDescent="0.25">
      <c r="A42" s="2" t="s">
        <v>41</v>
      </c>
      <c r="B42" s="2" t="str">
        <f>VLOOKUP(A42,'[1]Sheet 1'!$C$2:$I$63,7,0)</f>
        <v>Дубовецька</v>
      </c>
      <c r="C42" s="1">
        <v>150663.22</v>
      </c>
      <c r="D42" s="1">
        <v>0</v>
      </c>
      <c r="E42" s="1">
        <v>0</v>
      </c>
    </row>
    <row r="43" spans="1:5" x14ac:dyDescent="0.25">
      <c r="A43" s="2" t="s">
        <v>42</v>
      </c>
      <c r="B43" s="2" t="str">
        <f>VLOOKUP(A43,'[1]Sheet 1'!$C$2:$I$63,7,0)</f>
        <v>Бiлоберiзька</v>
      </c>
      <c r="C43" s="1">
        <v>144509.21</v>
      </c>
      <c r="D43" s="1">
        <v>0</v>
      </c>
      <c r="E43" s="1">
        <v>0</v>
      </c>
    </row>
    <row r="44" spans="1:5" x14ac:dyDescent="0.25">
      <c r="A44" s="2" t="s">
        <v>43</v>
      </c>
      <c r="B44" s="2" t="str">
        <f>VLOOKUP(A44,'[1]Sheet 1'!$C$2:$I$63,7,0)</f>
        <v>Тлумацька</v>
      </c>
      <c r="C44" s="1">
        <v>127207.4</v>
      </c>
      <c r="D44" s="1">
        <v>95.05</v>
      </c>
      <c r="E44" s="1">
        <v>0</v>
      </c>
    </row>
    <row r="45" spans="1:5" x14ac:dyDescent="0.25">
      <c r="A45" s="2" t="s">
        <v>44</v>
      </c>
      <c r="B45" s="2" t="str">
        <f>VLOOKUP(A45,'[1]Sheet 1'!$C$2:$I$63,7,0)</f>
        <v>Перерiслянська</v>
      </c>
      <c r="C45" s="1">
        <v>124088.55</v>
      </c>
      <c r="D45" s="1">
        <v>0</v>
      </c>
      <c r="E45" s="1">
        <v>0</v>
      </c>
    </row>
    <row r="46" spans="1:5" x14ac:dyDescent="0.25">
      <c r="A46" s="2" t="s">
        <v>45</v>
      </c>
      <c r="B46" s="2" t="str">
        <f>VLOOKUP(A46,'[1]Sheet 1'!$C$2:$I$63,7,0)</f>
        <v>Заболотiвська</v>
      </c>
      <c r="C46" s="1">
        <v>121380.96</v>
      </c>
      <c r="D46" s="1">
        <v>0</v>
      </c>
      <c r="E46" s="1">
        <v>0</v>
      </c>
    </row>
    <row r="47" spans="1:5" x14ac:dyDescent="0.25">
      <c r="A47" s="2" t="s">
        <v>46</v>
      </c>
      <c r="B47" s="2" t="str">
        <f>VLOOKUP(A47,'[1]Sheet 1'!$C$2:$I$63,7,0)</f>
        <v>Перегiнська</v>
      </c>
      <c r="C47" s="1">
        <v>84778</v>
      </c>
      <c r="D47" s="1">
        <v>0</v>
      </c>
      <c r="E47" s="1">
        <v>0</v>
      </c>
    </row>
    <row r="48" spans="1:5" x14ac:dyDescent="0.25">
      <c r="A48" s="2" t="s">
        <v>47</v>
      </c>
      <c r="B48" s="2" t="str">
        <f>VLOOKUP(A48,'[1]Sheet 1'!$C$2:$I$63,7,0)</f>
        <v>Матеївецька</v>
      </c>
      <c r="C48" s="1">
        <v>79484.23</v>
      </c>
      <c r="D48" s="1">
        <v>0</v>
      </c>
      <c r="E48" s="1">
        <v>0</v>
      </c>
    </row>
    <row r="49" spans="1:5" x14ac:dyDescent="0.25">
      <c r="A49" s="2" t="s">
        <v>48</v>
      </c>
      <c r="B49" s="2" t="str">
        <f>VLOOKUP(A49,'[1]Sheet 1'!$C$2:$I$63,7,0)</f>
        <v>Верхнянська</v>
      </c>
      <c r="C49" s="1">
        <v>63209.23</v>
      </c>
      <c r="D49" s="1">
        <v>0</v>
      </c>
      <c r="E49" s="1">
        <v>0</v>
      </c>
    </row>
    <row r="50" spans="1:5" x14ac:dyDescent="0.25">
      <c r="A50" s="2" t="s">
        <v>49</v>
      </c>
      <c r="B50" s="2" t="str">
        <f>VLOOKUP(A50,'[1]Sheet 1'!$C$2:$I$63,7,0)</f>
        <v>Коршiвська</v>
      </c>
      <c r="C50" s="1">
        <v>39128.730000000003</v>
      </c>
      <c r="D50" s="1">
        <v>0</v>
      </c>
      <c r="E50" s="1">
        <v>0</v>
      </c>
    </row>
    <row r="51" spans="1:5" x14ac:dyDescent="0.25">
      <c r="A51" s="2" t="s">
        <v>50</v>
      </c>
      <c r="B51" s="2" t="str">
        <f>VLOOKUP(A51,'[1]Sheet 1'!$C$2:$I$63,7,0)</f>
        <v>Рожнiвська</v>
      </c>
      <c r="C51" s="1">
        <v>35664.39</v>
      </c>
      <c r="D51" s="1">
        <v>0</v>
      </c>
      <c r="E51" s="1">
        <v>0</v>
      </c>
    </row>
    <row r="52" spans="1:5" x14ac:dyDescent="0.25">
      <c r="A52" s="2" t="s">
        <v>51</v>
      </c>
      <c r="B52" s="2" t="str">
        <f>VLOOKUP(A52,'[1]Sheet 1'!$C$2:$I$63,7,0)</f>
        <v>Чернелицька</v>
      </c>
      <c r="C52" s="1">
        <v>32890.160000000003</v>
      </c>
      <c r="D52" s="1">
        <v>0</v>
      </c>
      <c r="E52" s="1">
        <v>0</v>
      </c>
    </row>
    <row r="53" spans="1:5" x14ac:dyDescent="0.25">
      <c r="A53" s="2" t="s">
        <v>52</v>
      </c>
      <c r="B53" s="2" t="str">
        <f>VLOOKUP(A53,'[1]Sheet 1'!$C$2:$I$63,7,0)</f>
        <v>Новицька</v>
      </c>
      <c r="C53" s="1">
        <v>26462.31</v>
      </c>
      <c r="D53" s="1">
        <v>0</v>
      </c>
      <c r="E53" s="1">
        <v>0</v>
      </c>
    </row>
    <row r="54" spans="1:5" x14ac:dyDescent="0.25">
      <c r="A54" s="2" t="s">
        <v>53</v>
      </c>
      <c r="B54" s="2" t="str">
        <f>VLOOKUP(A54,'[1]Sheet 1'!$C$2:$I$63,7,0)</f>
        <v>Гвiздецька</v>
      </c>
      <c r="C54" s="1">
        <v>19832.28</v>
      </c>
      <c r="D54" s="1">
        <v>0</v>
      </c>
      <c r="E54" s="1">
        <v>0</v>
      </c>
    </row>
    <row r="55" spans="1:5" x14ac:dyDescent="0.25">
      <c r="A55" s="2" t="s">
        <v>54</v>
      </c>
      <c r="B55" s="2" t="str">
        <f>VLOOKUP(A55,'[1]Sheet 1'!$C$2:$I$63,7,0)</f>
        <v>Загвiздянська</v>
      </c>
      <c r="C55" s="1">
        <v>14911.59</v>
      </c>
      <c r="D55" s="1">
        <v>0</v>
      </c>
      <c r="E55" s="1">
        <v>0</v>
      </c>
    </row>
    <row r="56" spans="1:5" x14ac:dyDescent="0.25">
      <c r="A56" s="2" t="s">
        <v>55</v>
      </c>
      <c r="B56" s="2" t="str">
        <f>VLOOKUP(A56,'[1]Sheet 1'!$C$2:$I$63,7,0)</f>
        <v>Дзвиняцька</v>
      </c>
      <c r="C56" s="1">
        <v>4714.05</v>
      </c>
      <c r="D56" s="1">
        <v>0</v>
      </c>
      <c r="E56" s="1">
        <v>0</v>
      </c>
    </row>
  </sheetData>
  <autoFilter ref="A1:E1" xr:uid="{00000000-0001-0000-0000-000000000000}">
    <sortState xmlns:xlrd2="http://schemas.microsoft.com/office/spreadsheetml/2017/richdata2" ref="A2:E56">
      <sortCondition descending="1" ref="E1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Олександр В. Фролов</cp:lastModifiedBy>
  <dcterms:created xsi:type="dcterms:W3CDTF">2025-08-22T18:50:36Z</dcterms:created>
  <dcterms:modified xsi:type="dcterms:W3CDTF">2025-08-22T16:59:28Z</dcterms:modified>
</cp:coreProperties>
</file>